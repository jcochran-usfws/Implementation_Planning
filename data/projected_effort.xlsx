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oimspp-my.sharepoint.com/personal/jacob_cochran_fws_gov/Documents/Early Detection Monitoring/Implementation_Planning/data/"/>
    </mc:Choice>
  </mc:AlternateContent>
  <xr:revisionPtr revIDLastSave="191" documentId="8_{E8B67BDC-2A15-4B69-8CE7-68D174EE1FE1}" xr6:coauthVersionLast="47" xr6:coauthVersionMax="47" xr10:uidLastSave="{9D7F2D50-BB6D-4261-86EB-F4B165CFD87D}"/>
  <bookViews>
    <workbookView xWindow="28680" yWindow="-120" windowWidth="19440" windowHeight="14880" xr2:uid="{6ACA3146-90F7-463A-8DB8-CF9C56339AC4}"/>
  </bookViews>
  <sheets>
    <sheet name="projected_eff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2" i="1"/>
</calcChain>
</file>

<file path=xl/sharedStrings.xml><?xml version="1.0" encoding="utf-8"?>
<sst xmlns="http://schemas.openxmlformats.org/spreadsheetml/2006/main" count="140" uniqueCount="43">
  <si>
    <t>Location</t>
  </si>
  <si>
    <t>y</t>
  </si>
  <si>
    <t>x</t>
  </si>
  <si>
    <t>Basin</t>
  </si>
  <si>
    <t>Priority</t>
  </si>
  <si>
    <t>Purpose</t>
  </si>
  <si>
    <t>Juvenile/Adult</t>
  </si>
  <si>
    <t>Metabarcoding</t>
  </si>
  <si>
    <t>Invertebrates</t>
  </si>
  <si>
    <t>Electrofish</t>
  </si>
  <si>
    <t>Buffalo, NY</t>
  </si>
  <si>
    <t>Lake Erie</t>
  </si>
  <si>
    <t>High</t>
  </si>
  <si>
    <t>Early Detection Monitoring</t>
  </si>
  <si>
    <t>Rochester, NY</t>
  </si>
  <si>
    <t>Lake Ontario</t>
  </si>
  <si>
    <t>Oswego, NY</t>
  </si>
  <si>
    <t>Erie, PA</t>
  </si>
  <si>
    <t>North Tonawanda, NY</t>
  </si>
  <si>
    <t>Upper Niagara River, NY/ON</t>
  </si>
  <si>
    <t>Sodus Bay, NY</t>
  </si>
  <si>
    <t>Thousand Islands, NY/ON</t>
  </si>
  <si>
    <t>Low</t>
  </si>
  <si>
    <t>Dunkirk, NY</t>
  </si>
  <si>
    <t>Lower Niagara River, NY/ON</t>
  </si>
  <si>
    <t>Oak Orchard Creek, NY</t>
  </si>
  <si>
    <t>Cattaragaus Creek, NY</t>
  </si>
  <si>
    <t>Targeted</t>
  </si>
  <si>
    <t>Braddock Bay, NY</t>
  </si>
  <si>
    <t>Medium</t>
  </si>
  <si>
    <t>Eighteen Mile Creek, NY</t>
  </si>
  <si>
    <t>Salmon River Estuary, NY</t>
  </si>
  <si>
    <t>Port Bay, NY</t>
  </si>
  <si>
    <t>Little Sodus Bay, NY</t>
  </si>
  <si>
    <t>Fish_Rank</t>
  </si>
  <si>
    <t>Invert_Rank</t>
  </si>
  <si>
    <t>Fyke Net</t>
  </si>
  <si>
    <t>Gill Net</t>
  </si>
  <si>
    <t>Rock Bags</t>
  </si>
  <si>
    <t>Sweep Net</t>
  </si>
  <si>
    <t>Black River Bay, NY</t>
  </si>
  <si>
    <t>Lake St. Lawrence, NY/ON</t>
  </si>
  <si>
    <t>Lake St. Francis, NY/ON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</si>
</sst>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594C5-8BE9-4471-9822-FA3B98D60D86}">
  <dimension ref="A1:P32"/>
  <sheetViews>
    <sheetView tabSelected="1" workbookViewId="0">
      <selection activeCell="B28" sqref="B28:C28"/>
    </sheetView>
  </sheetViews>
  <sheetFormatPr defaultRowHeight="15" x14ac:dyDescent="0.25"/>
  <cols>
    <col min="1" max="1" width="26.140625" bestFit="1" customWidth="1"/>
    <col min="2" max="2" width="11.85546875" bestFit="1" customWidth="1"/>
    <col min="3" max="3" width="12.42578125" bestFit="1" customWidth="1"/>
    <col min="4" max="4" width="12.140625" bestFit="1" customWidth="1"/>
    <col min="5" max="5" width="10" bestFit="1" customWidth="1"/>
    <col min="6" max="6" width="11.140625" bestFit="1" customWidth="1"/>
    <col min="7" max="7" width="9.28515625" bestFit="1" customWidth="1"/>
    <col min="8" max="8" width="24.42578125" bestFit="1" customWidth="1"/>
    <col min="9" max="9" width="13.42578125" bestFit="1" customWidth="1"/>
    <col min="10" max="10" width="12.7109375" bestFit="1" customWidth="1"/>
    <col min="11" max="11" width="11.28515625" bestFit="1" customWidth="1"/>
    <col min="12" max="12" width="9.42578125" bestFit="1" customWidth="1"/>
    <col min="13" max="13" width="8" bestFit="1" customWidth="1"/>
    <col min="14" max="14" width="6.7109375" bestFit="1" customWidth="1"/>
    <col min="15" max="15" width="9.85546875" bestFit="1" customWidth="1"/>
    <col min="16" max="16" width="9.7109375" bestFit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36</v>
      </c>
      <c r="N1" t="s">
        <v>37</v>
      </c>
      <c r="O1" t="s">
        <v>38</v>
      </c>
      <c r="P1" t="s">
        <v>39</v>
      </c>
    </row>
    <row r="2" spans="1:16" x14ac:dyDescent="0.25">
      <c r="A2" t="s">
        <v>10</v>
      </c>
      <c r="B2">
        <v>42.875659810000002</v>
      </c>
      <c r="C2">
        <v>-78.875949579999997</v>
      </c>
      <c r="D2" t="s">
        <v>11</v>
      </c>
      <c r="E2">
        <v>3</v>
      </c>
      <c r="F2">
        <v>8</v>
      </c>
      <c r="G2" t="s">
        <v>12</v>
      </c>
      <c r="H2" t="s">
        <v>13</v>
      </c>
      <c r="I2">
        <f>SUM(L2:N2)</f>
        <v>40</v>
      </c>
      <c r="J2">
        <v>20</v>
      </c>
      <c r="K2">
        <v>0</v>
      </c>
      <c r="L2">
        <v>20</v>
      </c>
      <c r="M2">
        <v>9</v>
      </c>
      <c r="N2">
        <v>11</v>
      </c>
      <c r="O2">
        <v>0</v>
      </c>
      <c r="P2">
        <v>0</v>
      </c>
    </row>
    <row r="3" spans="1:16" x14ac:dyDescent="0.25">
      <c r="A3" t="s">
        <v>14</v>
      </c>
      <c r="B3">
        <v>43.253931999999999</v>
      </c>
      <c r="C3">
        <v>-77.573269999999994</v>
      </c>
      <c r="D3" t="s">
        <v>15</v>
      </c>
      <c r="E3">
        <v>5</v>
      </c>
      <c r="F3">
        <v>16</v>
      </c>
      <c r="G3" t="s">
        <v>12</v>
      </c>
      <c r="H3" t="s">
        <v>13</v>
      </c>
      <c r="I3">
        <f t="shared" ref="I3:I7" si="0">SUM(L3:N3)</f>
        <v>60</v>
      </c>
      <c r="J3">
        <v>20</v>
      </c>
      <c r="K3">
        <v>0</v>
      </c>
      <c r="L3">
        <v>30</v>
      </c>
      <c r="M3">
        <v>15</v>
      </c>
      <c r="N3">
        <v>15</v>
      </c>
      <c r="O3">
        <v>0</v>
      </c>
      <c r="P3">
        <v>0</v>
      </c>
    </row>
    <row r="4" spans="1:16" x14ac:dyDescent="0.25">
      <c r="A4" t="s">
        <v>16</v>
      </c>
      <c r="B4">
        <v>43.463628999999997</v>
      </c>
      <c r="C4">
        <v>-76.520600000000002</v>
      </c>
      <c r="D4" t="s">
        <v>15</v>
      </c>
      <c r="E4">
        <v>6</v>
      </c>
      <c r="F4">
        <v>22</v>
      </c>
      <c r="G4" t="s">
        <v>12</v>
      </c>
      <c r="H4" t="s">
        <v>13</v>
      </c>
      <c r="I4">
        <f t="shared" si="0"/>
        <v>40</v>
      </c>
      <c r="J4">
        <v>20</v>
      </c>
      <c r="K4">
        <v>0</v>
      </c>
      <c r="L4">
        <v>20</v>
      </c>
      <c r="M4">
        <v>6</v>
      </c>
      <c r="N4">
        <v>14</v>
      </c>
      <c r="O4">
        <v>0</v>
      </c>
      <c r="P4">
        <v>0</v>
      </c>
    </row>
    <row r="5" spans="1:16" x14ac:dyDescent="0.25">
      <c r="A5" t="s">
        <v>17</v>
      </c>
      <c r="B5">
        <v>42.136245520000003</v>
      </c>
      <c r="C5">
        <v>-80.099798649999997</v>
      </c>
      <c r="D5" t="s">
        <v>11</v>
      </c>
      <c r="E5">
        <v>27</v>
      </c>
      <c r="F5">
        <v>25</v>
      </c>
      <c r="G5" t="s">
        <v>29</v>
      </c>
      <c r="H5" t="s">
        <v>13</v>
      </c>
      <c r="I5">
        <f t="shared" si="0"/>
        <v>40</v>
      </c>
      <c r="J5">
        <v>20</v>
      </c>
      <c r="K5">
        <v>0</v>
      </c>
      <c r="L5">
        <v>20</v>
      </c>
      <c r="M5">
        <v>9</v>
      </c>
      <c r="N5">
        <v>11</v>
      </c>
      <c r="O5">
        <v>0</v>
      </c>
      <c r="P5">
        <v>0</v>
      </c>
    </row>
    <row r="6" spans="1:16" x14ac:dyDescent="0.25">
      <c r="A6" t="s">
        <v>18</v>
      </c>
      <c r="B6">
        <v>43.035739139999997</v>
      </c>
      <c r="C6">
        <v>-78.842143460000003</v>
      </c>
      <c r="D6" t="s">
        <v>11</v>
      </c>
      <c r="E6">
        <v>29</v>
      </c>
      <c r="F6">
        <v>46</v>
      </c>
      <c r="G6" t="s">
        <v>29</v>
      </c>
      <c r="H6" t="s">
        <v>13</v>
      </c>
      <c r="I6">
        <f t="shared" si="0"/>
        <v>30</v>
      </c>
      <c r="J6">
        <v>10</v>
      </c>
      <c r="L6">
        <v>11</v>
      </c>
      <c r="M6">
        <v>9</v>
      </c>
      <c r="N6">
        <v>10</v>
      </c>
    </row>
    <row r="7" spans="1:16" x14ac:dyDescent="0.25">
      <c r="A7" t="s">
        <v>19</v>
      </c>
      <c r="B7">
        <v>43.027583540000002</v>
      </c>
      <c r="C7">
        <v>-78.988743009999993</v>
      </c>
      <c r="D7" t="s">
        <v>11</v>
      </c>
      <c r="E7">
        <v>36</v>
      </c>
      <c r="F7">
        <v>61</v>
      </c>
      <c r="G7" t="s">
        <v>29</v>
      </c>
      <c r="H7" t="s">
        <v>13</v>
      </c>
      <c r="I7">
        <f t="shared" si="0"/>
        <v>40</v>
      </c>
      <c r="J7">
        <v>20</v>
      </c>
      <c r="L7">
        <v>22</v>
      </c>
      <c r="M7">
        <v>18</v>
      </c>
    </row>
    <row r="8" spans="1:16" x14ac:dyDescent="0.25">
      <c r="A8" t="s">
        <v>20</v>
      </c>
      <c r="B8">
        <v>43.251815000000001</v>
      </c>
      <c r="C8">
        <v>-76.960001000000005</v>
      </c>
      <c r="D8" t="s">
        <v>15</v>
      </c>
      <c r="E8">
        <v>56</v>
      </c>
      <c r="F8">
        <v>58</v>
      </c>
      <c r="G8" t="s">
        <v>29</v>
      </c>
      <c r="H8" t="s">
        <v>13</v>
      </c>
    </row>
    <row r="9" spans="1:16" x14ac:dyDescent="0.25">
      <c r="A9" t="s">
        <v>21</v>
      </c>
      <c r="B9">
        <v>44.250826000000004</v>
      </c>
      <c r="C9">
        <v>-76.087418</v>
      </c>
      <c r="D9" t="s">
        <v>15</v>
      </c>
      <c r="E9">
        <v>67</v>
      </c>
      <c r="F9">
        <v>64</v>
      </c>
      <c r="G9" t="s">
        <v>22</v>
      </c>
      <c r="H9" t="s">
        <v>13</v>
      </c>
      <c r="J9">
        <v>30</v>
      </c>
    </row>
    <row r="10" spans="1:16" x14ac:dyDescent="0.25">
      <c r="A10" t="s">
        <v>23</v>
      </c>
      <c r="B10">
        <v>42.487721780000001</v>
      </c>
      <c r="C10">
        <v>-79.331886679999997</v>
      </c>
      <c r="D10" t="s">
        <v>11</v>
      </c>
      <c r="E10">
        <v>76</v>
      </c>
      <c r="F10">
        <v>77</v>
      </c>
      <c r="G10" t="s">
        <v>22</v>
      </c>
      <c r="H10" t="s">
        <v>13</v>
      </c>
      <c r="J10">
        <v>10</v>
      </c>
    </row>
    <row r="11" spans="1:16" x14ac:dyDescent="0.25">
      <c r="A11" t="s">
        <v>24</v>
      </c>
      <c r="B11">
        <v>43.233587</v>
      </c>
      <c r="C11">
        <v>-79.054096999999999</v>
      </c>
      <c r="D11" t="s">
        <v>15</v>
      </c>
      <c r="E11">
        <v>81</v>
      </c>
      <c r="F11">
        <v>86</v>
      </c>
      <c r="G11" t="s">
        <v>22</v>
      </c>
      <c r="H11" t="s">
        <v>13</v>
      </c>
    </row>
    <row r="12" spans="1:16" x14ac:dyDescent="0.25">
      <c r="A12" t="s">
        <v>25</v>
      </c>
      <c r="B12">
        <v>43.364257000000002</v>
      </c>
      <c r="C12">
        <v>-78.192469000000003</v>
      </c>
      <c r="D12" t="s">
        <v>15</v>
      </c>
      <c r="E12">
        <v>84</v>
      </c>
      <c r="F12">
        <v>101</v>
      </c>
      <c r="G12" t="s">
        <v>22</v>
      </c>
      <c r="H12" t="s">
        <v>13</v>
      </c>
    </row>
    <row r="13" spans="1:16" x14ac:dyDescent="0.25">
      <c r="A13" t="s">
        <v>26</v>
      </c>
      <c r="B13">
        <v>42.567559340000003</v>
      </c>
      <c r="C13">
        <v>-79.115413599999997</v>
      </c>
      <c r="D13" t="s">
        <v>11</v>
      </c>
      <c r="E13">
        <v>97</v>
      </c>
      <c r="F13">
        <v>134</v>
      </c>
      <c r="G13" t="s">
        <v>22</v>
      </c>
      <c r="H13" t="s">
        <v>13</v>
      </c>
    </row>
    <row r="14" spans="1:16" x14ac:dyDescent="0.25">
      <c r="A14" t="s">
        <v>41</v>
      </c>
      <c r="B14">
        <v>44.910923979121897</v>
      </c>
      <c r="C14">
        <v>-75.116843413566698</v>
      </c>
      <c r="D14" t="s">
        <v>15</v>
      </c>
      <c r="E14">
        <v>102</v>
      </c>
      <c r="F14">
        <v>93</v>
      </c>
      <c r="G14" t="s">
        <v>22</v>
      </c>
      <c r="H14" t="s">
        <v>13</v>
      </c>
    </row>
    <row r="15" spans="1:16" x14ac:dyDescent="0.25">
      <c r="A15" t="s">
        <v>42</v>
      </c>
      <c r="B15">
        <v>44.989308091740398</v>
      </c>
      <c r="C15">
        <v>-74.740341342397102</v>
      </c>
      <c r="D15" t="s">
        <v>15</v>
      </c>
      <c r="E15">
        <v>86</v>
      </c>
      <c r="F15">
        <v>112</v>
      </c>
      <c r="G15" t="s">
        <v>22</v>
      </c>
      <c r="H15" t="s">
        <v>13</v>
      </c>
    </row>
    <row r="16" spans="1:16" x14ac:dyDescent="0.25">
      <c r="A16" t="s">
        <v>40</v>
      </c>
      <c r="B16">
        <v>43.969969920031197</v>
      </c>
      <c r="C16">
        <v>-76.108388104891603</v>
      </c>
      <c r="D16" t="s">
        <v>15</v>
      </c>
      <c r="E16">
        <v>87</v>
      </c>
      <c r="F16">
        <v>127</v>
      </c>
      <c r="G16" t="s">
        <v>22</v>
      </c>
      <c r="H16" t="s">
        <v>13</v>
      </c>
      <c r="J16">
        <v>30</v>
      </c>
    </row>
    <row r="17" spans="1:12" x14ac:dyDescent="0.25">
      <c r="A17" t="s">
        <v>10</v>
      </c>
      <c r="B17">
        <v>42.875659810000002</v>
      </c>
      <c r="C17">
        <v>-78.875949579999997</v>
      </c>
      <c r="D17" t="s">
        <v>11</v>
      </c>
      <c r="E17">
        <v>3</v>
      </c>
      <c r="F17">
        <v>8</v>
      </c>
      <c r="G17" t="s">
        <v>12</v>
      </c>
      <c r="H17" t="s">
        <v>27</v>
      </c>
      <c r="J17">
        <v>10</v>
      </c>
    </row>
    <row r="18" spans="1:12" x14ac:dyDescent="0.25">
      <c r="A18" t="s">
        <v>14</v>
      </c>
      <c r="B18">
        <v>43.253931999999999</v>
      </c>
      <c r="C18">
        <v>-77.573269999999994</v>
      </c>
      <c r="D18" t="s">
        <v>15</v>
      </c>
      <c r="E18">
        <v>5</v>
      </c>
      <c r="F18">
        <v>16</v>
      </c>
      <c r="G18" t="s">
        <v>12</v>
      </c>
      <c r="H18" t="s">
        <v>27</v>
      </c>
      <c r="J18">
        <v>10</v>
      </c>
    </row>
    <row r="19" spans="1:12" x14ac:dyDescent="0.25">
      <c r="A19" t="s">
        <v>28</v>
      </c>
      <c r="B19">
        <v>43.307336999999997</v>
      </c>
      <c r="C19">
        <v>-77.717062999999996</v>
      </c>
      <c r="D19" t="s">
        <v>15</v>
      </c>
      <c r="E19">
        <v>95</v>
      </c>
      <c r="F19">
        <v>145</v>
      </c>
      <c r="G19" t="s">
        <v>22</v>
      </c>
      <c r="H19" t="s">
        <v>27</v>
      </c>
    </row>
    <row r="20" spans="1:12" x14ac:dyDescent="0.25">
      <c r="A20" t="s">
        <v>16</v>
      </c>
      <c r="B20">
        <v>43.463628999999997</v>
      </c>
      <c r="C20">
        <v>-76.520600000000002</v>
      </c>
      <c r="D20" t="s">
        <v>15</v>
      </c>
      <c r="E20">
        <v>6</v>
      </c>
      <c r="F20">
        <v>22</v>
      </c>
      <c r="G20" t="s">
        <v>29</v>
      </c>
      <c r="H20" t="s">
        <v>27</v>
      </c>
      <c r="J20">
        <v>10</v>
      </c>
    </row>
    <row r="21" spans="1:12" x14ac:dyDescent="0.25">
      <c r="A21" t="s">
        <v>17</v>
      </c>
      <c r="B21">
        <v>42.136245520000003</v>
      </c>
      <c r="C21">
        <v>-80.099798649999997</v>
      </c>
      <c r="D21" t="s">
        <v>11</v>
      </c>
      <c r="E21">
        <v>27</v>
      </c>
      <c r="F21">
        <v>25</v>
      </c>
      <c r="G21" t="s">
        <v>29</v>
      </c>
      <c r="H21" t="s">
        <v>27</v>
      </c>
    </row>
    <row r="22" spans="1:12" x14ac:dyDescent="0.25">
      <c r="A22" t="s">
        <v>18</v>
      </c>
      <c r="B22">
        <v>43.035739139999997</v>
      </c>
      <c r="C22">
        <v>-78.842143460000003</v>
      </c>
      <c r="D22" t="s">
        <v>11</v>
      </c>
      <c r="E22">
        <v>29</v>
      </c>
      <c r="F22">
        <v>46</v>
      </c>
      <c r="G22" t="s">
        <v>12</v>
      </c>
      <c r="H22" t="s">
        <v>27</v>
      </c>
      <c r="J22">
        <v>30</v>
      </c>
    </row>
    <row r="23" spans="1:12" x14ac:dyDescent="0.25">
      <c r="A23" t="s">
        <v>20</v>
      </c>
      <c r="B23">
        <v>43.251815000000001</v>
      </c>
      <c r="C23">
        <v>-76.960001000000005</v>
      </c>
      <c r="D23" t="s">
        <v>15</v>
      </c>
      <c r="E23">
        <v>56</v>
      </c>
      <c r="F23">
        <v>58</v>
      </c>
      <c r="G23" t="s">
        <v>22</v>
      </c>
      <c r="H23" t="s">
        <v>27</v>
      </c>
      <c r="J23">
        <v>20</v>
      </c>
    </row>
    <row r="24" spans="1:12" x14ac:dyDescent="0.25">
      <c r="A24" t="s">
        <v>23</v>
      </c>
      <c r="B24">
        <v>42.487721780000001</v>
      </c>
      <c r="C24">
        <v>-79.331886679999997</v>
      </c>
      <c r="D24" t="s">
        <v>11</v>
      </c>
      <c r="E24">
        <v>76</v>
      </c>
      <c r="F24">
        <v>77</v>
      </c>
      <c r="G24" t="s">
        <v>29</v>
      </c>
      <c r="H24" t="s">
        <v>27</v>
      </c>
    </row>
    <row r="25" spans="1:12" x14ac:dyDescent="0.25">
      <c r="A25" t="s">
        <v>24</v>
      </c>
      <c r="B25">
        <v>43.233587</v>
      </c>
      <c r="C25">
        <v>-79.054096999999999</v>
      </c>
      <c r="D25" t="s">
        <v>15</v>
      </c>
      <c r="E25">
        <v>81</v>
      </c>
      <c r="F25">
        <v>86</v>
      </c>
      <c r="G25" t="s">
        <v>29</v>
      </c>
      <c r="H25" t="s">
        <v>27</v>
      </c>
      <c r="J25">
        <v>10</v>
      </c>
    </row>
    <row r="26" spans="1:12" x14ac:dyDescent="0.25">
      <c r="A26" t="s">
        <v>25</v>
      </c>
      <c r="B26">
        <v>43.364257000000002</v>
      </c>
      <c r="C26">
        <v>-78.192469000000003</v>
      </c>
      <c r="D26" t="s">
        <v>15</v>
      </c>
      <c r="E26">
        <v>84</v>
      </c>
      <c r="F26">
        <v>101</v>
      </c>
      <c r="G26" t="s">
        <v>12</v>
      </c>
      <c r="H26" t="s">
        <v>27</v>
      </c>
      <c r="J26">
        <v>10</v>
      </c>
    </row>
    <row r="27" spans="1:12" x14ac:dyDescent="0.25">
      <c r="A27" t="s">
        <v>26</v>
      </c>
      <c r="B27">
        <v>42.567559340000003</v>
      </c>
      <c r="C27">
        <v>-79.115413599999997</v>
      </c>
      <c r="D27" t="s">
        <v>11</v>
      </c>
      <c r="E27">
        <v>97</v>
      </c>
      <c r="F27">
        <v>134</v>
      </c>
      <c r="G27" t="s">
        <v>12</v>
      </c>
      <c r="H27" t="s">
        <v>27</v>
      </c>
    </row>
    <row r="28" spans="1:12" x14ac:dyDescent="0.25">
      <c r="A28" t="s">
        <v>41</v>
      </c>
      <c r="B28">
        <v>44.910923979121897</v>
      </c>
      <c r="C28">
        <v>-75.116843413566698</v>
      </c>
      <c r="D28" t="s">
        <v>15</v>
      </c>
      <c r="E28">
        <v>86</v>
      </c>
      <c r="F28">
        <v>112</v>
      </c>
      <c r="G28" t="s">
        <v>12</v>
      </c>
      <c r="H28" t="s">
        <v>27</v>
      </c>
      <c r="I28">
        <v>60</v>
      </c>
      <c r="J28">
        <v>120</v>
      </c>
      <c r="L28">
        <v>60</v>
      </c>
    </row>
    <row r="29" spans="1:12" x14ac:dyDescent="0.25">
      <c r="A29" t="s">
        <v>30</v>
      </c>
      <c r="B29">
        <v>43.33813</v>
      </c>
      <c r="C29">
        <v>-78.718518000000003</v>
      </c>
      <c r="D29" t="s">
        <v>15</v>
      </c>
      <c r="E29">
        <v>118</v>
      </c>
      <c r="F29">
        <v>131</v>
      </c>
      <c r="G29" t="s">
        <v>22</v>
      </c>
      <c r="H29" t="s">
        <v>27</v>
      </c>
    </row>
    <row r="30" spans="1:12" x14ac:dyDescent="0.25">
      <c r="A30" t="s">
        <v>31</v>
      </c>
      <c r="B30">
        <v>43.569085999999999</v>
      </c>
      <c r="C30">
        <v>-76.203276000000002</v>
      </c>
      <c r="D30" t="s">
        <v>15</v>
      </c>
      <c r="E30">
        <v>107</v>
      </c>
      <c r="F30">
        <v>109</v>
      </c>
      <c r="G30" t="s">
        <v>22</v>
      </c>
      <c r="H30" t="s">
        <v>27</v>
      </c>
    </row>
    <row r="31" spans="1:12" x14ac:dyDescent="0.25">
      <c r="A31" t="s">
        <v>32</v>
      </c>
      <c r="B31">
        <v>43.300778999999999</v>
      </c>
      <c r="C31">
        <v>-76.836208999999997</v>
      </c>
      <c r="D31" t="s">
        <v>15</v>
      </c>
      <c r="E31">
        <v>210</v>
      </c>
      <c r="F31">
        <v>206</v>
      </c>
      <c r="G31" t="s">
        <v>22</v>
      </c>
      <c r="H31" t="s">
        <v>27</v>
      </c>
    </row>
    <row r="32" spans="1:12" x14ac:dyDescent="0.25">
      <c r="A32" t="s">
        <v>33</v>
      </c>
      <c r="B32">
        <v>43.330714999999998</v>
      </c>
      <c r="C32">
        <v>-76.705862999999994</v>
      </c>
      <c r="D32" t="s">
        <v>15</v>
      </c>
      <c r="E32">
        <v>116</v>
      </c>
      <c r="F32">
        <v>107</v>
      </c>
      <c r="G32" t="s">
        <v>22</v>
      </c>
      <c r="H32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projected_effort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Cochran, Jacob L</cp:lastModifiedBy>
  <dcterms:created xsi:type="dcterms:W3CDTF">2025-02-07T21:38:48Z</dcterms:created>
  <dcterms:modified xsi:type="dcterms:W3CDTF">2026-03-10T19:54:56Z</dcterms:modified>
</cp:coreProperties>
</file>